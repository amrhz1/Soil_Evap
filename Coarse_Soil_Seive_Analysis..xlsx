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E7540087-5ADC-40E7-B1C9-14F5005CBF6C}" xr6:coauthVersionLast="47" xr6:coauthVersionMax="47" xr10:uidLastSave="{00000000-0000-0000-0000-000000000000}"/>
  <bookViews>
    <workbookView xWindow="-108" yWindow="-108" windowWidth="30936" windowHeight="16776" xr2:uid="{999EF9BE-DDCF-EB40-ACB9-6544D6BB9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3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3" i="1"/>
  <c r="E3" i="1" s="1"/>
  <c r="D2" i="1"/>
  <c r="E2" i="1" l="1"/>
</calcChain>
</file>

<file path=xl/sharedStrings.xml><?xml version="1.0" encoding="utf-8"?>
<sst xmlns="http://schemas.openxmlformats.org/spreadsheetml/2006/main" count="5" uniqueCount="5">
  <si>
    <t>Sieve Size (µm)</t>
  </si>
  <si>
    <t>Average Particle Size (µm)</t>
  </si>
  <si>
    <t>Mass Reading (g)</t>
  </si>
  <si>
    <t>Cumulative Mass (g)</t>
  </si>
  <si>
    <t>Mass Retained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</si>
</sst>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CEAF-5D10-A549-85FA-75F5E245F43A}">
  <dimension ref="A1:G9"/>
  <sheetViews>
    <sheetView tabSelected="1" workbookViewId="0">
      <selection sqref="A1:E1"/>
    </sheetView>
  </sheetViews>
  <sheetFormatPr defaultColWidth="11.19921875" defaultRowHeight="15.6" x14ac:dyDescent="0.3"/>
  <cols>
    <col min="2" max="2" width="13.69921875" bestFit="1" customWidth="1"/>
    <col min="3" max="3" width="22" bestFit="1" customWidth="1"/>
    <col min="4" max="4" width="12.796875" bestFit="1" customWidth="1"/>
    <col min="5" max="5" width="12.796875" customWidth="1"/>
    <col min="6" max="6" width="12.19921875" bestFit="1" customWidth="1"/>
  </cols>
  <sheetData>
    <row r="1" spans="1:7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">
      <c r="A2">
        <v>1000</v>
      </c>
      <c r="B2">
        <v>1200</v>
      </c>
      <c r="C2">
        <v>0.21</v>
      </c>
      <c r="D2">
        <f>C2</f>
        <v>0.21</v>
      </c>
      <c r="E2" s="1">
        <f>D2/1647</f>
        <v>1.2750455373406193E-4</v>
      </c>
      <c r="G2" s="1"/>
    </row>
    <row r="3" spans="1:7" x14ac:dyDescent="0.3">
      <c r="A3">
        <v>850</v>
      </c>
      <c r="B3">
        <f>AVERAGE(A2:A3)</f>
        <v>925</v>
      </c>
      <c r="C3">
        <v>215.18</v>
      </c>
      <c r="D3">
        <f>C3-C2</f>
        <v>214.97</v>
      </c>
      <c r="E3" s="1">
        <f t="shared" ref="E3:E9" si="0">D3/1647</f>
        <v>0.13052216150576806</v>
      </c>
      <c r="G3" s="1"/>
    </row>
    <row r="4" spans="1:7" x14ac:dyDescent="0.3">
      <c r="A4">
        <v>710</v>
      </c>
      <c r="B4">
        <f t="shared" ref="B4:B9" si="1">AVERAGE(A3:A4)</f>
        <v>780</v>
      </c>
      <c r="C4">
        <v>1165.0999999999999</v>
      </c>
      <c r="D4">
        <f t="shared" ref="D4:D9" si="2">C4-C3</f>
        <v>949.91999999999985</v>
      </c>
      <c r="E4" s="1">
        <f t="shared" si="0"/>
        <v>0.57675774134790514</v>
      </c>
      <c r="G4" s="1"/>
    </row>
    <row r="5" spans="1:7" x14ac:dyDescent="0.3">
      <c r="A5">
        <v>600</v>
      </c>
      <c r="B5">
        <f t="shared" si="1"/>
        <v>655</v>
      </c>
      <c r="C5">
        <v>1357.58</v>
      </c>
      <c r="D5">
        <f t="shared" si="2"/>
        <v>192.48000000000002</v>
      </c>
      <c r="E5" s="1">
        <f t="shared" si="0"/>
        <v>0.11686703096539164</v>
      </c>
      <c r="G5" s="1"/>
    </row>
    <row r="6" spans="1:7" x14ac:dyDescent="0.3">
      <c r="A6">
        <v>500</v>
      </c>
      <c r="B6">
        <f t="shared" si="1"/>
        <v>550</v>
      </c>
      <c r="C6">
        <v>1427.8</v>
      </c>
      <c r="D6">
        <f t="shared" si="2"/>
        <v>70.220000000000027</v>
      </c>
      <c r="E6" s="1">
        <f t="shared" si="0"/>
        <v>4.2635094110503965E-2</v>
      </c>
      <c r="G6" s="1"/>
    </row>
    <row r="7" spans="1:7" x14ac:dyDescent="0.3">
      <c r="A7">
        <v>425</v>
      </c>
      <c r="B7">
        <f t="shared" si="1"/>
        <v>462.5</v>
      </c>
      <c r="C7">
        <v>1502.68</v>
      </c>
      <c r="D7">
        <f t="shared" si="2"/>
        <v>74.880000000000109</v>
      </c>
      <c r="E7" s="1">
        <f t="shared" si="0"/>
        <v>4.5464480874317009E-2</v>
      </c>
      <c r="G7" s="1"/>
    </row>
    <row r="8" spans="1:7" x14ac:dyDescent="0.3">
      <c r="A8">
        <v>355</v>
      </c>
      <c r="B8">
        <f t="shared" si="1"/>
        <v>390</v>
      </c>
      <c r="C8">
        <v>1559.58</v>
      </c>
      <c r="D8">
        <f t="shared" si="2"/>
        <v>56.899999999999864</v>
      </c>
      <c r="E8" s="1">
        <f t="shared" si="0"/>
        <v>3.4547662416514795E-2</v>
      </c>
      <c r="G8" s="1"/>
    </row>
    <row r="9" spans="1:7" x14ac:dyDescent="0.3">
      <c r="A9">
        <v>250</v>
      </c>
      <c r="B9">
        <f t="shared" si="1"/>
        <v>302.5</v>
      </c>
      <c r="C9">
        <v>1603.79</v>
      </c>
      <c r="D9">
        <f t="shared" si="2"/>
        <v>44.210000000000036</v>
      </c>
      <c r="E9" s="1">
        <f t="shared" si="0"/>
        <v>2.6842744383728013E-2</v>
      </c>
      <c r="G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Amr Al-Zu'bi</cp:lastModifiedBy>
  <dcterms:created xsi:type="dcterms:W3CDTF">2023-11-06T12:03:16Z</dcterms:created>
  <dcterms:modified xsi:type="dcterms:W3CDTF">2026-03-12T10:05:48Z</dcterms:modified>
</cp:coreProperties>
</file>